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escenarios" sheetId="2" state="visible" r:id="rId4"/>
    <sheet name="ref_equipos" sheetId="3" state="visible" r:id="rId5"/>
    <sheet name="ref_parametros" sheetId="4" state="visible" r:id="rId6"/>
    <sheet name="ref_umbra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<sst xmlns="http://schemas.openxmlformats.org/spreadsheetml/2006/main" count="112" uniqueCount="102">
  <si>
    <t xml:space="preserve">Archivo</t>
  </si>
  <si>
    <t xml:space="preserve">07_calculadora_escenarios.xlsx · versión 0.1 (mock)</t>
  </si>
  <si>
    <t xml:space="preserve">Tipo</t>
  </si>
  <si>
    <t xml:space="preserve">ESPECÍFICO: motor de cálculo de la negociación</t>
  </si>
  <si>
    <t xml:space="preserve">Qué contiene</t>
  </si>
  <si>
    <t xml:space="preserve">Calcula inversión, flujo, recuperación, retorno, margen y zona de acuerdo para tres escenarios. Incluye hojas ref_* con copias de 01, 02, 03, 04 y 06.</t>
  </si>
  <si>
    <t xml:space="preserve">Dueño de los cambios</t>
  </si>
  <si>
    <t xml:space="preserve">Procedimiento de oferta (el dueño cambia las entradas de cada escenario).</t>
  </si>
  <si>
    <t xml:space="preserve">Quién lo lee o consume</t>
  </si>
  <si>
    <t xml:space="preserve">Dueño y asesores para preparar propuestas.</t>
  </si>
  <si>
    <t xml:space="preserve">Confidencialidad</t>
  </si>
  <si>
    <t xml:space="preserve">Contiene costos (ref_equipos). Tratar como interno.</t>
  </si>
  <si>
    <t xml:space="preserve">Cómo se usa</t>
  </si>
  <si>
    <t xml:space="preserve">Las hojas ref_* deben coincidir con sus archivos fuente. Si difieren, la calculadora está mal aunque las fórmulas sean correctas.</t>
  </si>
  <si>
    <t xml:space="preserve">Estado</t>
  </si>
  <si>
    <t xml:space="preserve">mock. Las hojas ref_* son copias de referencia: en producción el backend las lee de la base y este archivo ya no las guarda.</t>
  </si>
  <si>
    <t xml:space="preserve">Convenciones</t>
  </si>
  <si>
    <t xml:space="preserve">Azul = valor editable (supuesto o dato de prueba). Negro = fórmula. Verde = vínculo a otra hoja. Amarillo = supuesto clave.</t>
  </si>
  <si>
    <t xml:space="preserve">Escenarios de negociación</t>
  </si>
  <si>
    <t xml:space="preserve">Azul = entrada editable. Negro = fórmula. Las referencias apuntan a las hojas ref_*.</t>
  </si>
  <si>
    <t xml:space="preserve">Concepto</t>
  </si>
  <si>
    <t xml:space="preserve">Propuesta inicial</t>
  </si>
  <si>
    <t xml:space="preserve">Contraoferta viable</t>
  </si>
  <si>
    <t xml:space="preserve">Sin acuerdo</t>
  </si>
  <si>
    <t xml:space="preserve">Nota</t>
  </si>
  <si>
    <t xml:space="preserve">Producto (product_id)</t>
  </si>
  <si>
    <t xml:space="preserve">ozonette</t>
  </si>
  <si>
    <t xml:space="preserve">Precio por sesión que cobra la clínica (PEN)</t>
  </si>
  <si>
    <t xml:space="preserve">Dato del cliente (mock)</t>
  </si>
  <si>
    <t xml:space="preserve">Sesiones de ozonoterapia por mes</t>
  </si>
  <si>
    <t xml:space="preserve">Precio del equipo (USD)</t>
  </si>
  <si>
    <t xml:space="preserve">Palanca de Tecnocare</t>
  </si>
  <si>
    <t xml:space="preserve">Instalación incluida (1 = sí, 0 = no)</t>
  </si>
  <si>
    <t xml:space="preserve">Capacitación incluida (sesiones)</t>
  </si>
  <si>
    <t xml:space="preserve">Palanca de Tecnocare; mínimo en 06 (U-03)</t>
  </si>
  <si>
    <t xml:space="preserve">Clínica</t>
  </si>
  <si>
    <t xml:space="preserve">Tipo de cambio (PEN por USD)</t>
  </si>
  <si>
    <t xml:space="preserve">Vínculo a ref_parametros (04, P-01)</t>
  </si>
  <si>
    <t xml:space="preserve">Precio por sesión (USD)</t>
  </si>
  <si>
    <t xml:space="preserve">Costo de insumos por sesión (USD)</t>
  </si>
  <si>
    <t xml:space="preserve">ref_equipos</t>
  </si>
  <si>
    <t xml:space="preserve">Flujo neto mensual de la clínica (USD)</t>
  </si>
  <si>
    <t xml:space="preserve">Sesiones × (precio − insumo)</t>
  </si>
  <si>
    <t xml:space="preserve">Inversión: precio del equipo (USD)</t>
  </si>
  <si>
    <t xml:space="preserve">Inversión: instalación cobrada (USD)</t>
  </si>
  <si>
    <t xml:space="preserve">Cero si la instalación va incluida</t>
  </si>
  <si>
    <t xml:space="preserve">Inversión: capacitación cobrada (USD)</t>
  </si>
  <si>
    <t xml:space="preserve">Sesiones requeridas menos incluidas × precio por sesión</t>
  </si>
  <si>
    <t xml:space="preserve">Inversión total (USD)</t>
  </si>
  <si>
    <t xml:space="preserve">Recuperación (meses)</t>
  </si>
  <si>
    <t xml:space="preserve">Inversión ÷ flujo</t>
  </si>
  <si>
    <t xml:space="preserve">Retorno a H meses</t>
  </si>
  <si>
    <t xml:space="preserve">(Flujo × H − inversión) ÷ inversión</t>
  </si>
  <si>
    <t xml:space="preserve">Clínica viable (recuperación ≤ umbral)</t>
  </si>
  <si>
    <t xml:space="preserve">Umbral: ref_umbrales (06, U-01)</t>
  </si>
  <si>
    <t xml:space="preserve">Tecnocare</t>
  </si>
  <si>
    <t xml:space="preserve">Ingreso total de la venta (USD)</t>
  </si>
  <si>
    <t xml:space="preserve">Costo de adquisición del equipo (USD)</t>
  </si>
  <si>
    <t xml:space="preserve">ref_equipos (03)</t>
  </si>
  <si>
    <t xml:space="preserve">Costo de instalación (USD)</t>
  </si>
  <si>
    <t xml:space="preserve">Se paga aunque la instalación vaya incluida</t>
  </si>
  <si>
    <t xml:space="preserve">Costo de capacitación (USD)</t>
  </si>
  <si>
    <t xml:space="preserve">Sesiones requeridas × costo por sesión</t>
  </si>
  <si>
    <t xml:space="preserve">Costo total (USD)</t>
  </si>
  <si>
    <t xml:space="preserve">Margen de Tecnocare (%)</t>
  </si>
  <si>
    <t xml:space="preserve">(Ingreso − costo) ÷ ingreso</t>
  </si>
  <si>
    <t xml:space="preserve">Tecnocare viable (margen ≥ piso)</t>
  </si>
  <si>
    <t xml:space="preserve">Piso: ref_umbrales (06, U-02)</t>
  </si>
  <si>
    <t xml:space="preserve">Precio mínimo del equipo para el piso (USD)</t>
  </si>
  <si>
    <t xml:space="preserve">Piso de la palanca 5</t>
  </si>
  <si>
    <t xml:space="preserve">Resultado de la zona de acuerdo</t>
  </si>
  <si>
    <t xml:space="preserve">product_id</t>
  </si>
  <si>
    <t xml:space="preserve">Instalación: precio de venta (USD) [02]</t>
  </si>
  <si>
    <t xml:space="preserve">Capacitación: precio por sesión (USD) [02]</t>
  </si>
  <si>
    <t xml:space="preserve">Insumo por sesión (USD) [03]</t>
  </si>
  <si>
    <t xml:space="preserve">Costo de adquisición (USD) [03]</t>
  </si>
  <si>
    <t xml:space="preserve">Costo de instalación (USD) [03]</t>
  </si>
  <si>
    <t xml:space="preserve">Costo de capacitación por sesión (USD) [03]</t>
  </si>
  <si>
    <t xml:space="preserve">Capacitación requerida (sesiones) [01]</t>
  </si>
  <si>
    <t xml:space="preserve">ozonette_dent</t>
  </si>
  <si>
    <t xml:space="preserve">ozonette_woman_care</t>
  </si>
  <si>
    <t xml:space="preserve">ozonette_vet</t>
  </si>
  <si>
    <t xml:space="preserve">ozonobaric_p</t>
  </si>
  <si>
    <t xml:space="preserve">om_302_d</t>
  </si>
  <si>
    <t xml:space="preserve">easyflow_r_60</t>
  </si>
  <si>
    <t xml:space="preserve">easyflow_r_100</t>
  </si>
  <si>
    <t xml:space="preserve">easyflow_r_300</t>
  </si>
  <si>
    <t xml:space="preserve">Parámetro</t>
  </si>
  <si>
    <t xml:space="preserve">Valor</t>
  </si>
  <si>
    <t xml:space="preserve">Unidad</t>
  </si>
  <si>
    <t xml:space="preserve">Fuente</t>
  </si>
  <si>
    <t xml:space="preserve">tipo_cambio</t>
  </si>
  <si>
    <t xml:space="preserve">PEN por USD</t>
  </si>
  <si>
    <t xml:space="preserve">04 · P-01</t>
  </si>
  <si>
    <t xml:space="preserve">horizonte_meses</t>
  </si>
  <si>
    <t xml:space="preserve">meses</t>
  </si>
  <si>
    <t xml:space="preserve">04 · P-03</t>
  </si>
  <si>
    <t xml:space="preserve">umbral_recuperacion_meses</t>
  </si>
  <si>
    <t xml:space="preserve">06 · U-01</t>
  </si>
  <si>
    <t xml:space="preserve">piso_margen</t>
  </si>
  <si>
    <t xml:space="preserve">%</t>
  </si>
  <si>
    <t xml:space="preserve">06 · U-02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</si>
</sst>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"/>
    <numFmt numFmtId="167" formatCode="0.00"/>
    <numFmt numFmtId="168" formatCode="\$#,##0.00"/>
    <numFmt numFmtId="169" formatCode="0.0"/>
    <numFmt numFmtId="170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23.8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23.85" hidden="false" customHeight="false" outlineLevel="0" collapsed="false">
      <c r="A7" s="1" t="s">
        <v>12</v>
      </c>
      <c r="B7" s="2" t="s">
        <v>13</v>
      </c>
    </row>
    <row r="8" customFormat="false" ht="23.85" hidden="false" customHeight="false" outlineLevel="0" collapsed="false">
      <c r="A8" s="1" t="s">
        <v>14</v>
      </c>
      <c r="B8" s="2" t="s">
        <v>15</v>
      </c>
    </row>
    <row r="9" customFormat="false" ht="15" hidden="false" customHeight="false" outlineLevel="0" collapsed="false">
      <c r="A9" s="1" t="s">
        <v>16</v>
      </c>
      <c r="B9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4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1" t="s">
        <v>18</v>
      </c>
    </row>
    <row r="2" customFormat="false" ht="23.85" hidden="false" customHeight="false" outlineLevel="0" collapsed="false">
      <c r="A2" s="2" t="s">
        <v>19</v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customFormat="false" ht="15" hidden="false" customHeight="false" outlineLevel="0" collapsed="false">
      <c r="A5" s="2" t="s">
        <v>25</v>
      </c>
      <c r="B5" s="4" t="s">
        <v>26</v>
      </c>
      <c r="C5" s="4" t="s">
        <v>26</v>
      </c>
      <c r="D5" s="4" t="s">
        <v>26</v>
      </c>
    </row>
    <row r="6" customFormat="false" ht="15" hidden="false" customHeight="false" outlineLevel="0" collapsed="false">
      <c r="A6" s="2" t="s">
        <v>27</v>
      </c>
      <c r="B6" s="5" t="n">
        <v>120</v>
      </c>
      <c r="C6" s="5" t="n">
        <v>110</v>
      </c>
      <c r="D6" s="5" t="n">
        <v>90</v>
      </c>
      <c r="E6" s="2" t="s">
        <v>28</v>
      </c>
    </row>
    <row r="7" customFormat="false" ht="15" hidden="false" customHeight="false" outlineLevel="0" collapsed="false">
      <c r="A7" s="2" t="s">
        <v>29</v>
      </c>
      <c r="B7" s="6" t="n">
        <v>40</v>
      </c>
      <c r="C7" s="6" t="n">
        <v>40</v>
      </c>
      <c r="D7" s="6" t="n">
        <v>30</v>
      </c>
      <c r="E7" s="2" t="s">
        <v>28</v>
      </c>
    </row>
    <row r="8" customFormat="false" ht="15" hidden="false" customHeight="false" outlineLevel="0" collapsed="false">
      <c r="A8" s="2" t="s">
        <v>30</v>
      </c>
      <c r="B8" s="5" t="n">
        <v>6500</v>
      </c>
      <c r="C8" s="5" t="n">
        <v>6100</v>
      </c>
      <c r="D8" s="5" t="n">
        <v>6500</v>
      </c>
      <c r="E8" s="2" t="s">
        <v>31</v>
      </c>
    </row>
    <row r="9" customFormat="false" ht="15" hidden="false" customHeight="false" outlineLevel="0" collapsed="false">
      <c r="A9" s="2" t="s">
        <v>32</v>
      </c>
      <c r="B9" s="6" t="n">
        <v>0</v>
      </c>
      <c r="C9" s="6" t="n">
        <v>1</v>
      </c>
      <c r="D9" s="6" t="n">
        <v>0</v>
      </c>
      <c r="E9" s="2" t="s">
        <v>31</v>
      </c>
    </row>
    <row r="10" customFormat="false" ht="15" hidden="false" customHeight="false" outlineLevel="0" collapsed="false">
      <c r="A10" s="2" t="s">
        <v>33</v>
      </c>
      <c r="B10" s="6" t="n">
        <v>2</v>
      </c>
      <c r="C10" s="6" t="n">
        <v>2</v>
      </c>
      <c r="D10" s="6" t="n">
        <v>2</v>
      </c>
      <c r="E10" s="2" t="s">
        <v>34</v>
      </c>
    </row>
    <row r="12" customFormat="false" ht="15" hidden="false" customHeight="false" outlineLevel="0" collapsed="false">
      <c r="A12" s="1" t="s">
        <v>35</v>
      </c>
    </row>
    <row r="13" customFormat="false" ht="15" hidden="false" customHeight="false" outlineLevel="0" collapsed="false">
      <c r="A13" s="2" t="s">
        <v>36</v>
      </c>
      <c r="B13" s="7" t="n">
        <f aca="false">ref_parametros!$B$2</f>
        <v>3.75</v>
      </c>
      <c r="C13" s="7" t="n">
        <f aca="false">ref_parametros!$B$2</f>
        <v>3.75</v>
      </c>
      <c r="D13" s="7" t="n">
        <f aca="false">ref_parametros!$B$2</f>
        <v>3.75</v>
      </c>
      <c r="E13" s="2" t="s">
        <v>37</v>
      </c>
    </row>
    <row r="14" customFormat="false" ht="15" hidden="false" customHeight="false" outlineLevel="0" collapsed="false">
      <c r="A14" s="2" t="s">
        <v>38</v>
      </c>
      <c r="B14" s="8" t="n">
        <f aca="false">B6/B13</f>
        <v>32</v>
      </c>
      <c r="C14" s="8" t="n">
        <f aca="false">C6/C13</f>
        <v>29.3333333333333</v>
      </c>
      <c r="D14" s="8" t="n">
        <f aca="false">D6/D13</f>
        <v>24</v>
      </c>
      <c r="E14" s="2"/>
    </row>
    <row r="15" customFormat="false" ht="15" hidden="false" customHeight="false" outlineLevel="0" collapsed="false">
      <c r="A15" s="2" t="s">
        <v>39</v>
      </c>
      <c r="B15" s="8" t="n">
        <f aca="false">INDEX(ref_equipos!$D$2:$D$10,MATCH(B$5,ref_equipos!$A$2:$A$10,0))</f>
        <v>15</v>
      </c>
      <c r="C15" s="8" t="n">
        <f aca="false">INDEX(ref_equipos!$D$2:$D$10,MATCH(C$5,ref_equipos!$A$2:$A$10,0))</f>
        <v>15</v>
      </c>
      <c r="D15" s="8" t="n">
        <f aca="false">INDEX(ref_equipos!$D$2:$D$10,MATCH(D$5,ref_equipos!$A$2:$A$10,0))</f>
        <v>15</v>
      </c>
      <c r="E15" s="2" t="s">
        <v>40</v>
      </c>
    </row>
    <row r="16" customFormat="false" ht="15" hidden="false" customHeight="false" outlineLevel="0" collapsed="false">
      <c r="A16" s="2" t="s">
        <v>41</v>
      </c>
      <c r="B16" s="9" t="n">
        <f aca="false">B7*(B14-B15)</f>
        <v>680</v>
      </c>
      <c r="C16" s="9" t="n">
        <f aca="false">C7*(C14-C15)</f>
        <v>573.333333333333</v>
      </c>
      <c r="D16" s="9" t="n">
        <f aca="false">D7*(D14-D15)</f>
        <v>270</v>
      </c>
      <c r="E16" s="2" t="s">
        <v>42</v>
      </c>
    </row>
    <row r="17" customFormat="false" ht="15" hidden="false" customHeight="false" outlineLevel="0" collapsed="false">
      <c r="A17" s="2" t="s">
        <v>43</v>
      </c>
      <c r="B17" s="9" t="n">
        <f aca="false">B8</f>
        <v>6500</v>
      </c>
      <c r="C17" s="9" t="n">
        <f aca="false">C8</f>
        <v>6100</v>
      </c>
      <c r="D17" s="9" t="n">
        <f aca="false">D8</f>
        <v>6500</v>
      </c>
      <c r="E17" s="2"/>
    </row>
    <row r="18" customFormat="false" ht="15" hidden="false" customHeight="false" outlineLevel="0" collapsed="false">
      <c r="A18" s="2" t="s">
        <v>44</v>
      </c>
      <c r="B18" s="9" t="n">
        <f aca="false">IF(B9=1,0,INDEX(ref_equipos!$B$2:$B$10,MATCH(B$5,ref_equipos!$A$2:$A$10,0)))</f>
        <v>400</v>
      </c>
      <c r="C18" s="9" t="n">
        <f aca="false">IF(C9=1,0,INDEX(ref_equipos!$B$2:$B$10,MATCH(C$5,ref_equipos!$A$2:$A$10,0)))</f>
        <v>0</v>
      </c>
      <c r="D18" s="9" t="n">
        <f aca="false">IF(D9=1,0,INDEX(ref_equipos!$B$2:$B$10,MATCH(D$5,ref_equipos!$A$2:$A$10,0)))</f>
        <v>400</v>
      </c>
      <c r="E18" s="2" t="s">
        <v>45</v>
      </c>
    </row>
    <row r="19" customFormat="false" ht="15" hidden="false" customHeight="false" outlineLevel="0" collapsed="false">
      <c r="A19" s="2" t="s">
        <v>46</v>
      </c>
      <c r="B19" s="9" t="n">
        <f aca="false">MAX(0,INDEX(ref_equipos!$H$2:$H$10,MATCH(B$5,ref_equipos!$A$2:$A$10,0))-B10)*INDEX(ref_equipos!$C$2:$C$10,MATCH(B$5,ref_equipos!$A$2:$A$10,0))</f>
        <v>0</v>
      </c>
      <c r="C19" s="9" t="n">
        <f aca="false">MAX(0,INDEX(ref_equipos!$H$2:$H$10,MATCH(C$5,ref_equipos!$A$2:$A$10,0))-C10)*INDEX(ref_equipos!$C$2:$C$10,MATCH(C$5,ref_equipos!$A$2:$A$10,0))</f>
        <v>0</v>
      </c>
      <c r="D19" s="9" t="n">
        <f aca="false">MAX(0,INDEX(ref_equipos!$H$2:$H$10,MATCH(D$5,ref_equipos!$A$2:$A$10,0))-D10)*INDEX(ref_equipos!$C$2:$C$10,MATCH(D$5,ref_equipos!$A$2:$A$10,0))</f>
        <v>0</v>
      </c>
      <c r="E19" s="2" t="s">
        <v>47</v>
      </c>
    </row>
    <row r="20" customFormat="false" ht="15" hidden="false" customHeight="false" outlineLevel="0" collapsed="false">
      <c r="A20" s="2" t="s">
        <v>48</v>
      </c>
      <c r="B20" s="9" t="n">
        <f aca="false">SUM(B17:B19)</f>
        <v>6900</v>
      </c>
      <c r="C20" s="9" t="n">
        <f aca="false">SUM(C17:C19)</f>
        <v>6100</v>
      </c>
      <c r="D20" s="9" t="n">
        <f aca="false">SUM(D17:D19)</f>
        <v>6900</v>
      </c>
      <c r="E20" s="2"/>
    </row>
    <row r="21" customFormat="false" ht="15" hidden="false" customHeight="false" outlineLevel="0" collapsed="false">
      <c r="A21" s="2" t="s">
        <v>49</v>
      </c>
      <c r="B21" s="10" t="n">
        <f aca="false">IF(B16&lt;=0,"n/a",B20/B16)</f>
        <v>10.1470588235294</v>
      </c>
      <c r="C21" s="10" t="n">
        <f aca="false">IF(C16&lt;=0,"n/a",C20/C16)</f>
        <v>10.6395348837209</v>
      </c>
      <c r="D21" s="10" t="n">
        <f aca="false">IF(D16&lt;=0,"n/a",D20/D16)</f>
        <v>25.5555555555556</v>
      </c>
      <c r="E21" s="2" t="s">
        <v>50</v>
      </c>
    </row>
    <row r="22" customFormat="false" ht="15" hidden="false" customHeight="false" outlineLevel="0" collapsed="false">
      <c r="A22" s="2" t="s">
        <v>51</v>
      </c>
      <c r="B22" s="11" t="n">
        <f aca="false">(B16*ref_parametros!$B$3-B20)/B20</f>
        <v>1.36521739130435</v>
      </c>
      <c r="C22" s="11" t="n">
        <f aca="false">(C16*ref_parametros!$B$3-C20)/C20</f>
        <v>1.25573770491803</v>
      </c>
      <c r="D22" s="11" t="n">
        <f aca="false">(D16*ref_parametros!$B$3-D20)/D20</f>
        <v>-0.0608695652173913</v>
      </c>
      <c r="E22" s="2" t="s">
        <v>52</v>
      </c>
    </row>
    <row r="23" customFormat="false" ht="15" hidden="false" customHeight="false" outlineLevel="0" collapsed="false">
      <c r="A23" s="2" t="s">
        <v>53</v>
      </c>
      <c r="B23" s="2" t="str">
        <f aca="false">IF(B16&lt;=0,"No",IF(B20/B16&lt;=ref_umbrales!$B$2,"Sí","No"))</f>
        <v>Sí</v>
      </c>
      <c r="C23" s="2" t="str">
        <f aca="false">IF(C16&lt;=0,"No",IF(C20/C16&lt;=ref_umbrales!$B$2,"Sí","No"))</f>
        <v>Sí</v>
      </c>
      <c r="D23" s="2" t="str">
        <f aca="false">IF(D16&lt;=0,"No",IF(D20/D16&lt;=ref_umbrales!$B$2,"Sí","No"))</f>
        <v>No</v>
      </c>
      <c r="E23" s="2" t="s">
        <v>54</v>
      </c>
    </row>
    <row r="24" customFormat="false" ht="15" hidden="false" customHeight="false" outlineLevel="0" collapsed="false">
      <c r="A24" s="1" t="s">
        <v>55</v>
      </c>
    </row>
    <row r="25" customFormat="false" ht="15" hidden="false" customHeight="false" outlineLevel="0" collapsed="false">
      <c r="A25" s="2" t="s">
        <v>56</v>
      </c>
      <c r="B25" s="9" t="n">
        <f aca="false">B20</f>
        <v>6900</v>
      </c>
      <c r="C25" s="9" t="n">
        <f aca="false">C20</f>
        <v>6100</v>
      </c>
      <c r="D25" s="9" t="n">
        <f aca="false">D20</f>
        <v>6900</v>
      </c>
      <c r="E25" s="2"/>
    </row>
    <row r="26" customFormat="false" ht="15" hidden="false" customHeight="false" outlineLevel="0" collapsed="false">
      <c r="A26" s="2" t="s">
        <v>57</v>
      </c>
      <c r="B26" s="9" t="n">
        <f aca="false">INDEX(ref_equipos!$E$2:$E$10,MATCH(B$5,ref_equipos!$A$2:$A$10,0))</f>
        <v>4200</v>
      </c>
      <c r="C26" s="9" t="n">
        <f aca="false">INDEX(ref_equipos!$E$2:$E$10,MATCH(C$5,ref_equipos!$A$2:$A$10,0))</f>
        <v>4200</v>
      </c>
      <c r="D26" s="9" t="n">
        <f aca="false">INDEX(ref_equipos!$E$2:$E$10,MATCH(D$5,ref_equipos!$A$2:$A$10,0))</f>
        <v>4200</v>
      </c>
      <c r="E26" s="2" t="s">
        <v>58</v>
      </c>
    </row>
    <row r="27" customFormat="false" ht="15" hidden="false" customHeight="false" outlineLevel="0" collapsed="false">
      <c r="A27" s="2" t="s">
        <v>59</v>
      </c>
      <c r="B27" s="9" t="n">
        <f aca="false">INDEX(ref_equipos!$F$2:$F$10,MATCH(B$5,ref_equipos!$A$2:$A$10,0))</f>
        <v>250</v>
      </c>
      <c r="C27" s="9" t="n">
        <f aca="false">INDEX(ref_equipos!$F$2:$F$10,MATCH(C$5,ref_equipos!$A$2:$A$10,0))</f>
        <v>250</v>
      </c>
      <c r="D27" s="9" t="n">
        <f aca="false">INDEX(ref_equipos!$F$2:$F$10,MATCH(D$5,ref_equipos!$A$2:$A$10,0))</f>
        <v>250</v>
      </c>
      <c r="E27" s="2" t="s">
        <v>60</v>
      </c>
    </row>
    <row r="28" customFormat="false" ht="15" hidden="false" customHeight="false" outlineLevel="0" collapsed="false">
      <c r="A28" s="2" t="s">
        <v>61</v>
      </c>
      <c r="B28" s="9" t="n">
        <f aca="false">INDEX(ref_equipos!$H$2:$H$10,MATCH(B$5,ref_equipos!$A$2:$A$10,0))*INDEX(ref_equipos!$G$2:$G$10,MATCH(B$5,ref_equipos!$A$2:$A$10,0))</f>
        <v>120</v>
      </c>
      <c r="C28" s="9" t="n">
        <f aca="false">INDEX(ref_equipos!$H$2:$H$10,MATCH(C$5,ref_equipos!$A$2:$A$10,0))*INDEX(ref_equipos!$G$2:$G$10,MATCH(C$5,ref_equipos!$A$2:$A$10,0))</f>
        <v>120</v>
      </c>
      <c r="D28" s="9" t="n">
        <f aca="false">INDEX(ref_equipos!$H$2:$H$10,MATCH(D$5,ref_equipos!$A$2:$A$10,0))*INDEX(ref_equipos!$G$2:$G$10,MATCH(D$5,ref_equipos!$A$2:$A$10,0))</f>
        <v>120</v>
      </c>
      <c r="E28" s="2" t="s">
        <v>62</v>
      </c>
    </row>
    <row r="29" customFormat="false" ht="15" hidden="false" customHeight="false" outlineLevel="0" collapsed="false">
      <c r="A29" s="2" t="s">
        <v>63</v>
      </c>
      <c r="B29" s="9" t="n">
        <f aca="false">SUM(B26:B28)</f>
        <v>4570</v>
      </c>
      <c r="C29" s="9" t="n">
        <f aca="false">SUM(C26:C28)</f>
        <v>4570</v>
      </c>
      <c r="D29" s="9" t="n">
        <f aca="false">SUM(D26:D28)</f>
        <v>4570</v>
      </c>
      <c r="E29" s="2"/>
    </row>
    <row r="30" customFormat="false" ht="15" hidden="false" customHeight="false" outlineLevel="0" collapsed="false">
      <c r="A30" s="2" t="s">
        <v>64</v>
      </c>
      <c r="B30" s="11" t="n">
        <f aca="false">(B25-B29)/B25</f>
        <v>0.33768115942029</v>
      </c>
      <c r="C30" s="11" t="n">
        <f aca="false">(C25-C29)/C25</f>
        <v>0.250819672131148</v>
      </c>
      <c r="D30" s="11" t="n">
        <f aca="false">(D25-D29)/D25</f>
        <v>0.33768115942029</v>
      </c>
      <c r="E30" s="2" t="s">
        <v>65</v>
      </c>
    </row>
    <row r="31" customFormat="false" ht="15" hidden="false" customHeight="false" outlineLevel="0" collapsed="false">
      <c r="A31" s="2" t="s">
        <v>66</v>
      </c>
      <c r="B31" s="2" t="str">
        <f aca="false">IF(B30&gt;=ref_umbrales!$B$3,"Sí","No")</f>
        <v>Sí</v>
      </c>
      <c r="C31" s="2" t="str">
        <f aca="false">IF(C30&gt;=ref_umbrales!$B$3,"Sí","No")</f>
        <v>Sí</v>
      </c>
      <c r="D31" s="2" t="str">
        <f aca="false">IF(D30&gt;=ref_umbrales!$B$3,"Sí","No")</f>
        <v>Sí</v>
      </c>
      <c r="E31" s="2" t="s">
        <v>67</v>
      </c>
    </row>
    <row r="32" customFormat="false" ht="15" hidden="false" customHeight="false" outlineLevel="0" collapsed="false">
      <c r="A32" s="2" t="s">
        <v>68</v>
      </c>
      <c r="B32" s="9" t="n">
        <f aca="false">B29/(1-ref_umbrales!$B$3)-B18-B19</f>
        <v>5693.33333333333</v>
      </c>
      <c r="C32" s="9" t="n">
        <f aca="false">C29/(1-ref_umbrales!$B$3)-C18-C19</f>
        <v>6093.33333333333</v>
      </c>
      <c r="D32" s="9" t="n">
        <f aca="false">D29/(1-ref_umbrales!$B$3)-D18-D19</f>
        <v>5693.33333333333</v>
      </c>
      <c r="E32" s="2" t="s">
        <v>69</v>
      </c>
    </row>
    <row r="33" customFormat="false" ht="15" hidden="false" customHeight="false" outlineLevel="0" collapsed="false">
      <c r="A33" s="1" t="s">
        <v>70</v>
      </c>
      <c r="B33" s="1" t="str">
        <f aca="false">IF(AND(B23="Sí",B31="Sí"),"VIABLE (win-win)","NO VIABLE")</f>
        <v>VIABLE (win-win)</v>
      </c>
      <c r="C33" s="1" t="str">
        <f aca="false">IF(AND(C23="Sí",C31="Sí"),"VIABLE (win-win)","NO VIABLE")</f>
        <v>VIABLE (win-win)</v>
      </c>
      <c r="D33" s="1" t="str">
        <f aca="false">IF(AND(D23="Sí",D31="Sí"),"VIABLE (win-win)","NO VIABLE")</f>
        <v>NO VIABLE</v>
      </c>
    </row>
  </sheetData>
  <dataValidations count="1">
    <dataValidation allowBlank="false" errorStyle="stop" operator="between" showDropDown="false" showErrorMessage="false" showInputMessage="false" sqref="B5:D5" type="list">
      <formula1>ref_equipos!$A$2:$A$10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7" min="7" style="0" width="28"/>
    <col collapsed="false" customWidth="true" hidden="false" outlineLevel="0" max="8" min="8" style="0" width="26"/>
  </cols>
  <sheetData>
    <row r="1" customFormat="false" ht="23.85" hidden="false" customHeight="false" outlineLevel="0" collapsed="false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</row>
    <row r="2" customFormat="false" ht="15" hidden="false" customHeight="false" outlineLevel="0" collapsed="false">
      <c r="A2" s="2" t="s">
        <v>26</v>
      </c>
      <c r="B2" s="5" t="n">
        <v>400</v>
      </c>
      <c r="C2" s="5" t="n">
        <v>150</v>
      </c>
      <c r="D2" s="5" t="n">
        <v>15</v>
      </c>
      <c r="E2" s="5" t="n">
        <v>4200</v>
      </c>
      <c r="F2" s="5" t="n">
        <v>250</v>
      </c>
      <c r="G2" s="5" t="n">
        <v>60</v>
      </c>
      <c r="H2" s="4" t="n">
        <v>2</v>
      </c>
    </row>
    <row r="3" customFormat="false" ht="15" hidden="false" customHeight="false" outlineLevel="0" collapsed="false">
      <c r="A3" s="2" t="s">
        <v>79</v>
      </c>
      <c r="B3" s="5" t="n">
        <v>400</v>
      </c>
      <c r="C3" s="5" t="n">
        <v>150</v>
      </c>
      <c r="D3" s="5" t="n">
        <v>15</v>
      </c>
      <c r="E3" s="5" t="n">
        <v>4400</v>
      </c>
      <c r="F3" s="5" t="n">
        <v>250</v>
      </c>
      <c r="G3" s="5" t="n">
        <v>60</v>
      </c>
      <c r="H3" s="4" t="n">
        <v>2</v>
      </c>
    </row>
    <row r="4" customFormat="false" ht="15" hidden="false" customHeight="false" outlineLevel="0" collapsed="false">
      <c r="A4" s="2" t="s">
        <v>80</v>
      </c>
      <c r="B4" s="5" t="n">
        <v>400</v>
      </c>
      <c r="C4" s="5" t="n">
        <v>150</v>
      </c>
      <c r="D4" s="5" t="n">
        <v>15</v>
      </c>
      <c r="E4" s="5" t="n">
        <v>4400</v>
      </c>
      <c r="F4" s="5" t="n">
        <v>250</v>
      </c>
      <c r="G4" s="5" t="n">
        <v>60</v>
      </c>
      <c r="H4" s="4" t="n">
        <v>2</v>
      </c>
    </row>
    <row r="5" customFormat="false" ht="15" hidden="false" customHeight="false" outlineLevel="0" collapsed="false">
      <c r="A5" s="2" t="s">
        <v>81</v>
      </c>
      <c r="B5" s="5" t="n">
        <v>400</v>
      </c>
      <c r="C5" s="5" t="n">
        <v>150</v>
      </c>
      <c r="D5" s="5" t="n">
        <v>12</v>
      </c>
      <c r="E5" s="5" t="n">
        <v>4000</v>
      </c>
      <c r="F5" s="5" t="n">
        <v>250</v>
      </c>
      <c r="G5" s="5" t="n">
        <v>60</v>
      </c>
      <c r="H5" s="4" t="n">
        <v>2</v>
      </c>
    </row>
    <row r="6" customFormat="false" ht="15" hidden="false" customHeight="false" outlineLevel="0" collapsed="false">
      <c r="A6" s="2" t="s">
        <v>82</v>
      </c>
      <c r="B6" s="5" t="n">
        <v>400</v>
      </c>
      <c r="C6" s="5" t="n">
        <v>150</v>
      </c>
      <c r="D6" s="5" t="n">
        <v>18</v>
      </c>
      <c r="E6" s="5" t="n">
        <v>4500</v>
      </c>
      <c r="F6" s="5" t="n">
        <v>250</v>
      </c>
      <c r="G6" s="5" t="n">
        <v>60</v>
      </c>
      <c r="H6" s="4" t="n">
        <v>2</v>
      </c>
    </row>
    <row r="7" customFormat="false" ht="15" hidden="false" customHeight="false" outlineLevel="0" collapsed="false">
      <c r="A7" s="2" t="s">
        <v>83</v>
      </c>
      <c r="B7" s="5" t="n">
        <v>450</v>
      </c>
      <c r="C7" s="5" t="n">
        <v>180</v>
      </c>
      <c r="D7" s="5" t="n">
        <v>20</v>
      </c>
      <c r="E7" s="5" t="n">
        <v>4900</v>
      </c>
      <c r="F7" s="5" t="n">
        <v>300</v>
      </c>
      <c r="G7" s="5" t="n">
        <v>70</v>
      </c>
      <c r="H7" s="4" t="n">
        <v>2</v>
      </c>
    </row>
    <row r="8" customFormat="false" ht="15" hidden="false" customHeight="false" outlineLevel="0" collapsed="false">
      <c r="A8" s="2" t="s">
        <v>84</v>
      </c>
      <c r="B8" s="5" t="n">
        <v>0</v>
      </c>
      <c r="C8" s="5" t="n">
        <v>0</v>
      </c>
      <c r="D8" s="5" t="n">
        <v>0</v>
      </c>
      <c r="E8" s="5" t="n">
        <v>15</v>
      </c>
      <c r="F8" s="5" t="n">
        <v>0</v>
      </c>
      <c r="G8" s="5" t="n">
        <v>0</v>
      </c>
      <c r="H8" s="4" t="n">
        <v>0</v>
      </c>
    </row>
    <row r="9" customFormat="false" ht="15" hidden="false" customHeight="false" outlineLevel="0" collapsed="false">
      <c r="A9" s="2" t="s">
        <v>85</v>
      </c>
      <c r="B9" s="5" t="n">
        <v>0</v>
      </c>
      <c r="C9" s="5" t="n">
        <v>0</v>
      </c>
      <c r="D9" s="5" t="n">
        <v>0</v>
      </c>
      <c r="E9" s="5" t="n">
        <v>18</v>
      </c>
      <c r="F9" s="5" t="n">
        <v>0</v>
      </c>
      <c r="G9" s="5" t="n">
        <v>0</v>
      </c>
      <c r="H9" s="4" t="n">
        <v>0</v>
      </c>
    </row>
    <row r="10" customFormat="false" ht="15" hidden="false" customHeight="false" outlineLevel="0" collapsed="false">
      <c r="A10" s="2" t="s">
        <v>86</v>
      </c>
      <c r="B10" s="5" t="n">
        <v>0</v>
      </c>
      <c r="C10" s="5" t="n">
        <v>0</v>
      </c>
      <c r="D10" s="5" t="n">
        <v>0</v>
      </c>
      <c r="E10" s="5" t="n">
        <v>24</v>
      </c>
      <c r="F10" s="5" t="n">
        <v>0</v>
      </c>
      <c r="G10" s="5" t="n">
        <v>0</v>
      </c>
      <c r="H10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" t="s">
        <v>87</v>
      </c>
      <c r="B1" s="3" t="s">
        <v>88</v>
      </c>
      <c r="C1" s="3" t="s">
        <v>89</v>
      </c>
      <c r="D1" s="3" t="s">
        <v>90</v>
      </c>
    </row>
    <row r="2" customFormat="false" ht="15" hidden="false" customHeight="false" outlineLevel="0" collapsed="false">
      <c r="A2" s="2" t="s">
        <v>91</v>
      </c>
      <c r="B2" s="12" t="n">
        <v>3.75</v>
      </c>
      <c r="C2" s="2" t="s">
        <v>92</v>
      </c>
      <c r="D2" s="2" t="s">
        <v>93</v>
      </c>
    </row>
    <row r="3" customFormat="false" ht="15" hidden="false" customHeight="false" outlineLevel="0" collapsed="false">
      <c r="A3" s="2" t="s">
        <v>94</v>
      </c>
      <c r="B3" s="12" t="n">
        <v>24</v>
      </c>
      <c r="C3" s="2" t="s">
        <v>95</v>
      </c>
      <c r="D3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3" t="s">
        <v>87</v>
      </c>
      <c r="B1" s="3" t="s">
        <v>88</v>
      </c>
      <c r="C1" s="3" t="s">
        <v>89</v>
      </c>
      <c r="D1" s="3" t="s">
        <v>90</v>
      </c>
    </row>
    <row r="2" customFormat="false" ht="15" hidden="false" customHeight="false" outlineLevel="0" collapsed="false">
      <c r="A2" s="2" t="s">
        <v>97</v>
      </c>
      <c r="B2" s="6" t="n">
        <v>12</v>
      </c>
      <c r="C2" s="2" t="s">
        <v>95</v>
      </c>
      <c r="D2" s="2" t="s">
        <v>98</v>
      </c>
    </row>
    <row r="3" customFormat="false" ht="15" hidden="false" customHeight="false" outlineLevel="0" collapsed="false">
      <c r="A3" s="2" t="s">
        <v>99</v>
      </c>
      <c r="B3" s="13" t="n">
        <v>0.25</v>
      </c>
      <c r="C3" s="2" t="s">
        <v>100</v>
      </c>
      <c r="D3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2026-10-14T21:07:29Z</dcterms:created>
  <dc:creator>openpyxl</dc:creator>
  <dc:description/>
  <dc:language>en-US</dc:language>
  <cp:lastModifiedBy/>
  <dcterms:modified xsi:type="dcterms:W3CDTF">2026-10-14T21:07:29Z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